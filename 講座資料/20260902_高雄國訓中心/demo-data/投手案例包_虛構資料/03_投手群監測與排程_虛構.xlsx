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日監測" sheetId="1" r:id="rId1"/>
    <sheet name="教練操作說明" sheetId="2" r:id="rId2"/>
  </sheets>
  <definedNames>
    <definedName name="_xlnm._FilterDatabase" localSheetId="0" hidden="1">每日監測!$A$3:$P$31</definedName>
  </definedNames>
  <calcPr calcId="124519" fullCalcOnLoad="1"/>
</workbook>
</file>

<file path=xl/sharedStrings.xml><?xml version="1.0" encoding="utf-8"?>
<sst xmlns="http://schemas.openxmlformats.org/spreadsheetml/2006/main" count="162" uniqueCount="53">
  <si>
    <t>P07 投手負荷與疲勞監測｜完全虛構教學資料</t>
  </si>
  <si>
    <t>日期</t>
  </si>
  <si>
    <t>代碼</t>
  </si>
  <si>
    <t>週期</t>
  </si>
  <si>
    <t>活動</t>
  </si>
  <si>
    <t>分鐘</t>
  </si>
  <si>
    <t>session RPE</t>
  </si>
  <si>
    <t>session load</t>
  </si>
  <si>
    <t>投球數</t>
  </si>
  <si>
    <t>睡眠</t>
  </si>
  <si>
    <t>酸痛</t>
  </si>
  <si>
    <t>狀態</t>
  </si>
  <si>
    <t>教練備註</t>
  </si>
  <si>
    <t>7日負荷</t>
  </si>
  <si>
    <t>28日基準</t>
  </si>
  <si>
    <t>ACWR</t>
  </si>
  <si>
    <t>提醒</t>
  </si>
  <si>
    <t>P07</t>
  </si>
  <si>
    <t>調整週</t>
  </si>
  <si>
    <t>恢復／移動</t>
  </si>
  <si>
    <t>正常</t>
  </si>
  <si>
    <t>牛棚</t>
  </si>
  <si>
    <t>肌力</t>
  </si>
  <si>
    <t>注意</t>
  </si>
  <si>
    <t>若疼痛加劇、投球品質下降或疲勞回報異常，交由教練確認</t>
  </si>
  <si>
    <t>技術＋跑動</t>
  </si>
  <si>
    <t>比賽模擬</t>
  </si>
  <si>
    <t>恢復</t>
  </si>
  <si>
    <t>休息</t>
  </si>
  <si>
    <t>建立週</t>
  </si>
  <si>
    <t>專項週</t>
  </si>
  <si>
    <t>減量前週</t>
  </si>
  <si>
    <t>這些數字怎麼用｜完全虛構示範</t>
  </si>
  <si>
    <t>指標</t>
  </si>
  <si>
    <t>公式／意義</t>
  </si>
  <si>
    <t>用於提問</t>
  </si>
  <si>
    <t>不可做的事</t>
  </si>
  <si>
    <t>分鐘 × session RPE</t>
  </si>
  <si>
    <t>累積量是否突然上升？</t>
  </si>
  <si>
    <t>單獨決定可否出賽</t>
  </si>
  <si>
    <t>近 7 日 session load 合計</t>
  </si>
  <si>
    <t>近期工作量趨勢？</t>
  </si>
  <si>
    <t>視為受傷預測</t>
  </si>
  <si>
    <t>近 28 日平均日負荷 × 7</t>
  </si>
  <si>
    <t>相對於近期基準？</t>
  </si>
  <si>
    <t>取代教練觀察</t>
  </si>
  <si>
    <t>7日負荷 ÷ 28日基準</t>
  </si>
  <si>
    <t>值得追問的訊號？</t>
  </si>
  <si>
    <t>硬性門檻或診斷</t>
  </si>
  <si>
    <t>睡眠／酸痛</t>
  </si>
  <si>
    <t>主觀回報</t>
  </si>
  <si>
    <t>需要確認的恢復訊息？</t>
  </si>
  <si>
    <t>作為醫療結論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</si>
</sst>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#,##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1.7109375" customWidth="1"/>
    <col min="4" max="4" width="15.7109375" customWidth="1"/>
    <col min="5" max="5" width="9.7109375" customWidth="1"/>
    <col min="6" max="6" width="12.7109375" customWidth="1"/>
    <col min="7" max="7" width="13.7109375" customWidth="1"/>
    <col min="8" max="9" width="9.7109375" customWidth="1"/>
    <col min="10" max="11" width="8.7109375" customWidth="1"/>
    <col min="12" max="12" width="38.7109375" customWidth="1"/>
    <col min="13" max="14" width="13.7109375" customWidth="1"/>
    <col min="15" max="15" width="9.7109375" customWidth="1"/>
    <col min="16" max="16" width="24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>
      <c r="A4" s="3">
        <v>46237</v>
      </c>
      <c r="B4" s="4" t="s">
        <v>17</v>
      </c>
      <c r="C4" s="4" t="s">
        <v>18</v>
      </c>
      <c r="D4" s="4" t="s">
        <v>19</v>
      </c>
      <c r="E4" s="5">
        <v>35</v>
      </c>
      <c r="F4" s="5">
        <v>3</v>
      </c>
      <c r="G4" s="6">
        <f>E4*F4</f>
        <v>0</v>
      </c>
      <c r="H4" s="6">
        <v>0</v>
      </c>
      <c r="I4" s="5">
        <v>7.6</v>
      </c>
      <c r="J4" s="5">
        <v>1</v>
      </c>
      <c r="K4" s="4" t="s">
        <v>20</v>
      </c>
      <c r="L4" s="7"/>
      <c r="M4" s="6">
        <f>IF(ROW()&lt;10,"",SUM(G4:G4))</f>
        <v>0</v>
      </c>
      <c r="N4" s="6">
        <f>IF(ROW()&lt;31,"",AVERAGE(G4:G4)*7)</f>
        <v>0</v>
      </c>
      <c r="O4" s="5">
        <f>IFERROR(M4/N4,"")</f>
        <v>0</v>
      </c>
      <c r="P4" s="4">
        <f>IF(OR(J4&gt;=4,I4&lt;6.7),"請教練確認恢復與下一次負荷","正常監測")</f>
        <v>0</v>
      </c>
    </row>
    <row r="5" spans="1:16">
      <c r="A5" s="3">
        <v>46238</v>
      </c>
      <c r="B5" s="4" t="s">
        <v>17</v>
      </c>
      <c r="C5" s="4" t="s">
        <v>18</v>
      </c>
      <c r="D5" s="4" t="s">
        <v>21</v>
      </c>
      <c r="E5" s="5">
        <v>75</v>
      </c>
      <c r="F5" s="5">
        <v>7</v>
      </c>
      <c r="G5" s="6">
        <f>E5*F5</f>
        <v>0</v>
      </c>
      <c r="H5" s="6">
        <v>38</v>
      </c>
      <c r="I5" s="5">
        <v>7.1</v>
      </c>
      <c r="J5" s="5">
        <v>2</v>
      </c>
      <c r="K5" s="4" t="s">
        <v>20</v>
      </c>
      <c r="L5" s="7"/>
      <c r="M5" s="6">
        <f>IF(ROW()&lt;10,"",SUM(G4:G5))</f>
        <v>0</v>
      </c>
      <c r="N5" s="6">
        <f>IF(ROW()&lt;31,"",AVERAGE(G4:G5)*7)</f>
        <v>0</v>
      </c>
      <c r="O5" s="5">
        <f>IFERROR(M5/N5,"")</f>
        <v>0</v>
      </c>
      <c r="P5" s="4">
        <f>IF(OR(J5&gt;=4,I5&lt;6.7),"請教練確認恢復與下一次負荷","正常監測")</f>
        <v>0</v>
      </c>
    </row>
    <row r="6" spans="1:16">
      <c r="A6" s="3">
        <v>46239</v>
      </c>
      <c r="B6" s="4" t="s">
        <v>17</v>
      </c>
      <c r="C6" s="4" t="s">
        <v>18</v>
      </c>
      <c r="D6" s="4" t="s">
        <v>22</v>
      </c>
      <c r="E6" s="5">
        <v>65</v>
      </c>
      <c r="F6" s="5">
        <v>6</v>
      </c>
      <c r="G6" s="6">
        <f>E6*F6</f>
        <v>0</v>
      </c>
      <c r="H6" s="6">
        <v>0</v>
      </c>
      <c r="I6" s="5">
        <v>6.5</v>
      </c>
      <c r="J6" s="5">
        <v>3</v>
      </c>
      <c r="K6" s="4" t="s">
        <v>23</v>
      </c>
      <c r="L6" s="7" t="s">
        <v>24</v>
      </c>
      <c r="M6" s="6">
        <f>IF(ROW()&lt;10,"",SUM(G4:G6))</f>
        <v>0</v>
      </c>
      <c r="N6" s="6">
        <f>IF(ROW()&lt;31,"",AVERAGE(G4:G6)*7)</f>
        <v>0</v>
      </c>
      <c r="O6" s="5">
        <f>IFERROR(M6/N6,"")</f>
        <v>0</v>
      </c>
      <c r="P6" s="4">
        <f>IF(OR(J6&gt;=4,I6&lt;6.7),"請教練確認恢復與下一次負荷","正常監測")</f>
        <v>0</v>
      </c>
    </row>
    <row r="7" spans="1:16">
      <c r="A7" s="3">
        <v>46240</v>
      </c>
      <c r="B7" s="4" t="s">
        <v>17</v>
      </c>
      <c r="C7" s="4" t="s">
        <v>18</v>
      </c>
      <c r="D7" s="4" t="s">
        <v>25</v>
      </c>
      <c r="E7" s="5">
        <v>70</v>
      </c>
      <c r="F7" s="5">
        <v>6</v>
      </c>
      <c r="G7" s="6">
        <f>E7*F7</f>
        <v>0</v>
      </c>
      <c r="H7" s="6">
        <v>18</v>
      </c>
      <c r="I7" s="5">
        <v>7.2</v>
      </c>
      <c r="J7" s="5">
        <v>2</v>
      </c>
      <c r="K7" s="4" t="s">
        <v>20</v>
      </c>
      <c r="L7" s="7"/>
      <c r="M7" s="6">
        <f>IF(ROW()&lt;10,"",SUM(G4:G7))</f>
        <v>0</v>
      </c>
      <c r="N7" s="6">
        <f>IF(ROW()&lt;31,"",AVERAGE(G4:G7)*7)</f>
        <v>0</v>
      </c>
      <c r="O7" s="5">
        <f>IFERROR(M7/N7,"")</f>
        <v>0</v>
      </c>
      <c r="P7" s="4">
        <f>IF(OR(J7&gt;=4,I7&lt;6.7),"請教練確認恢復與下一次負荷","正常監測")</f>
        <v>0</v>
      </c>
    </row>
    <row r="8" spans="1:16">
      <c r="A8" s="3">
        <v>46241</v>
      </c>
      <c r="B8" s="4" t="s">
        <v>17</v>
      </c>
      <c r="C8" s="4" t="s">
        <v>18</v>
      </c>
      <c r="D8" s="4" t="s">
        <v>26</v>
      </c>
      <c r="E8" s="5">
        <v>90</v>
      </c>
      <c r="F8" s="5">
        <v>8</v>
      </c>
      <c r="G8" s="6">
        <f>E8*F8</f>
        <v>0</v>
      </c>
      <c r="H8" s="6">
        <v>62</v>
      </c>
      <c r="I8" s="5">
        <v>6.8</v>
      </c>
      <c r="J8" s="5">
        <v>4</v>
      </c>
      <c r="K8" s="4" t="s">
        <v>23</v>
      </c>
      <c r="L8" s="7" t="s">
        <v>24</v>
      </c>
      <c r="M8" s="6">
        <f>IF(ROW()&lt;10,"",SUM(G4:G8))</f>
        <v>0</v>
      </c>
      <c r="N8" s="6">
        <f>IF(ROW()&lt;31,"",AVERAGE(G4:G8)*7)</f>
        <v>0</v>
      </c>
      <c r="O8" s="5">
        <f>IFERROR(M8/N8,"")</f>
        <v>0</v>
      </c>
      <c r="P8" s="4">
        <f>IF(OR(J8&gt;=4,I8&lt;6.7),"請教練確認恢復與下一次負荷","正常監測")</f>
        <v>0</v>
      </c>
    </row>
    <row r="9" spans="1:16">
      <c r="A9" s="3">
        <v>46242</v>
      </c>
      <c r="B9" s="4" t="s">
        <v>17</v>
      </c>
      <c r="C9" s="4" t="s">
        <v>18</v>
      </c>
      <c r="D9" s="4" t="s">
        <v>27</v>
      </c>
      <c r="E9" s="5">
        <v>40</v>
      </c>
      <c r="F9" s="5">
        <v>3</v>
      </c>
      <c r="G9" s="6">
        <f>E9*F9</f>
        <v>0</v>
      </c>
      <c r="H9" s="6">
        <v>0</v>
      </c>
      <c r="I9" s="5">
        <v>8</v>
      </c>
      <c r="J9" s="5">
        <v>2</v>
      </c>
      <c r="K9" s="4" t="s">
        <v>20</v>
      </c>
      <c r="L9" s="7"/>
      <c r="M9" s="6">
        <f>IF(ROW()&lt;10,"",SUM(G4:G9))</f>
        <v>0</v>
      </c>
      <c r="N9" s="6">
        <f>IF(ROW()&lt;31,"",AVERAGE(G4:G9)*7)</f>
        <v>0</v>
      </c>
      <c r="O9" s="5">
        <f>IFERROR(M9/N9,"")</f>
        <v>0</v>
      </c>
      <c r="P9" s="4">
        <f>IF(OR(J9&gt;=4,I9&lt;6.7),"請教練確認恢復與下一次負荷","正常監測")</f>
        <v>0</v>
      </c>
    </row>
    <row r="10" spans="1:16">
      <c r="A10" s="3">
        <v>46243</v>
      </c>
      <c r="B10" s="4" t="s">
        <v>17</v>
      </c>
      <c r="C10" s="4" t="s">
        <v>18</v>
      </c>
      <c r="D10" s="4" t="s">
        <v>28</v>
      </c>
      <c r="E10" s="5">
        <v>0</v>
      </c>
      <c r="F10" s="5">
        <v>0</v>
      </c>
      <c r="G10" s="6">
        <f>E10*F10</f>
        <v>0</v>
      </c>
      <c r="H10" s="6">
        <v>0</v>
      </c>
      <c r="I10" s="5">
        <v>8.300000000000001</v>
      </c>
      <c r="J10" s="5">
        <v>1</v>
      </c>
      <c r="K10" s="4" t="s">
        <v>20</v>
      </c>
      <c r="L10" s="7"/>
      <c r="M10" s="6">
        <f>IF(ROW()&lt;10,"",SUM(G4:G10))</f>
        <v>0</v>
      </c>
      <c r="N10" s="6">
        <f>IF(ROW()&lt;31,"",AVERAGE(G4:G10)*7)</f>
        <v>0</v>
      </c>
      <c r="O10" s="5">
        <f>IFERROR(M10/N10,"")</f>
        <v>0</v>
      </c>
      <c r="P10" s="4">
        <f>IF(OR(J10&gt;=4,I10&lt;6.7),"請教練確認恢復與下一次負荷","正常監測")</f>
        <v>0</v>
      </c>
    </row>
    <row r="11" spans="1:16">
      <c r="A11" s="3">
        <v>46244</v>
      </c>
      <c r="B11" s="4" t="s">
        <v>17</v>
      </c>
      <c r="C11" s="4" t="s">
        <v>29</v>
      </c>
      <c r="D11" s="4" t="s">
        <v>19</v>
      </c>
      <c r="E11" s="5">
        <v>35</v>
      </c>
      <c r="F11" s="5">
        <v>3</v>
      </c>
      <c r="G11" s="6">
        <f>E11*F11</f>
        <v>0</v>
      </c>
      <c r="H11" s="6">
        <v>0</v>
      </c>
      <c r="I11" s="5">
        <v>7.6</v>
      </c>
      <c r="J11" s="5">
        <v>1</v>
      </c>
      <c r="K11" s="4" t="s">
        <v>20</v>
      </c>
      <c r="L11" s="7"/>
      <c r="M11" s="6">
        <f>IF(ROW()&lt;10,"",SUM(G5:G11))</f>
        <v>0</v>
      </c>
      <c r="N11" s="6">
        <f>IF(ROW()&lt;31,"",AVERAGE(G4:G11)*7)</f>
        <v>0</v>
      </c>
      <c r="O11" s="5">
        <f>IFERROR(M11/N11,"")</f>
        <v>0</v>
      </c>
      <c r="P11" s="4">
        <f>IF(OR(J11&gt;=4,I11&lt;6.7),"請教練確認恢復與下一次負荷","正常監測")</f>
        <v>0</v>
      </c>
    </row>
    <row r="12" spans="1:16">
      <c r="A12" s="3">
        <v>46245</v>
      </c>
      <c r="B12" s="4" t="s">
        <v>17</v>
      </c>
      <c r="C12" s="4" t="s">
        <v>29</v>
      </c>
      <c r="D12" s="4" t="s">
        <v>21</v>
      </c>
      <c r="E12" s="5">
        <v>75</v>
      </c>
      <c r="F12" s="5">
        <v>7</v>
      </c>
      <c r="G12" s="6">
        <f>E12*F12</f>
        <v>0</v>
      </c>
      <c r="H12" s="6">
        <v>38</v>
      </c>
      <c r="I12" s="5">
        <v>7.1</v>
      </c>
      <c r="J12" s="5">
        <v>2</v>
      </c>
      <c r="K12" s="4" t="s">
        <v>20</v>
      </c>
      <c r="L12" s="7"/>
      <c r="M12" s="6">
        <f>IF(ROW()&lt;10,"",SUM(G6:G12))</f>
        <v>0</v>
      </c>
      <c r="N12" s="6">
        <f>IF(ROW()&lt;31,"",AVERAGE(G4:G12)*7)</f>
        <v>0</v>
      </c>
      <c r="O12" s="5">
        <f>IFERROR(M12/N12,"")</f>
        <v>0</v>
      </c>
      <c r="P12" s="4">
        <f>IF(OR(J12&gt;=4,I12&lt;6.7),"請教練確認恢復與下一次負荷","正常監測")</f>
        <v>0</v>
      </c>
    </row>
    <row r="13" spans="1:16">
      <c r="A13" s="3">
        <v>46246</v>
      </c>
      <c r="B13" s="4" t="s">
        <v>17</v>
      </c>
      <c r="C13" s="4" t="s">
        <v>29</v>
      </c>
      <c r="D13" s="4" t="s">
        <v>22</v>
      </c>
      <c r="E13" s="5">
        <v>65</v>
      </c>
      <c r="F13" s="5">
        <v>6</v>
      </c>
      <c r="G13" s="6">
        <f>E13*F13</f>
        <v>0</v>
      </c>
      <c r="H13" s="6">
        <v>0</v>
      </c>
      <c r="I13" s="5">
        <v>6.5</v>
      </c>
      <c r="J13" s="5">
        <v>3</v>
      </c>
      <c r="K13" s="4" t="s">
        <v>23</v>
      </c>
      <c r="L13" s="7" t="s">
        <v>24</v>
      </c>
      <c r="M13" s="6">
        <f>IF(ROW()&lt;10,"",SUM(G7:G13))</f>
        <v>0</v>
      </c>
      <c r="N13" s="6">
        <f>IF(ROW()&lt;31,"",AVERAGE(G4:G13)*7)</f>
        <v>0</v>
      </c>
      <c r="O13" s="5">
        <f>IFERROR(M13/N13,"")</f>
        <v>0</v>
      </c>
      <c r="P13" s="4">
        <f>IF(OR(J13&gt;=4,I13&lt;6.7),"請教練確認恢復與下一次負荷","正常監測")</f>
        <v>0</v>
      </c>
    </row>
    <row r="14" spans="1:16">
      <c r="A14" s="3">
        <v>46247</v>
      </c>
      <c r="B14" s="4" t="s">
        <v>17</v>
      </c>
      <c r="C14" s="4" t="s">
        <v>29</v>
      </c>
      <c r="D14" s="4" t="s">
        <v>25</v>
      </c>
      <c r="E14" s="5">
        <v>70</v>
      </c>
      <c r="F14" s="5">
        <v>6</v>
      </c>
      <c r="G14" s="6">
        <f>E14*F14</f>
        <v>0</v>
      </c>
      <c r="H14" s="6">
        <v>18</v>
      </c>
      <c r="I14" s="5">
        <v>7.2</v>
      </c>
      <c r="J14" s="5">
        <v>2</v>
      </c>
      <c r="K14" s="4" t="s">
        <v>20</v>
      </c>
      <c r="L14" s="7"/>
      <c r="M14" s="6">
        <f>IF(ROW()&lt;10,"",SUM(G8:G14))</f>
        <v>0</v>
      </c>
      <c r="N14" s="6">
        <f>IF(ROW()&lt;31,"",AVERAGE(G4:G14)*7)</f>
        <v>0</v>
      </c>
      <c r="O14" s="5">
        <f>IFERROR(M14/N14,"")</f>
        <v>0</v>
      </c>
      <c r="P14" s="4">
        <f>IF(OR(J14&gt;=4,I14&lt;6.7),"請教練確認恢復與下一次負荷","正常監測")</f>
        <v>0</v>
      </c>
    </row>
    <row r="15" spans="1:16">
      <c r="A15" s="3">
        <v>46248</v>
      </c>
      <c r="B15" s="4" t="s">
        <v>17</v>
      </c>
      <c r="C15" s="4" t="s">
        <v>29</v>
      </c>
      <c r="D15" s="4" t="s">
        <v>26</v>
      </c>
      <c r="E15" s="5">
        <v>90</v>
      </c>
      <c r="F15" s="5">
        <v>8</v>
      </c>
      <c r="G15" s="6">
        <f>E15*F15</f>
        <v>0</v>
      </c>
      <c r="H15" s="6">
        <v>66</v>
      </c>
      <c r="I15" s="5">
        <v>6.8</v>
      </c>
      <c r="J15" s="5">
        <v>4</v>
      </c>
      <c r="K15" s="4" t="s">
        <v>23</v>
      </c>
      <c r="L15" s="7" t="s">
        <v>24</v>
      </c>
      <c r="M15" s="6">
        <f>IF(ROW()&lt;10,"",SUM(G9:G15))</f>
        <v>0</v>
      </c>
      <c r="N15" s="6">
        <f>IF(ROW()&lt;31,"",AVERAGE(G4:G15)*7)</f>
        <v>0</v>
      </c>
      <c r="O15" s="5">
        <f>IFERROR(M15/N15,"")</f>
        <v>0</v>
      </c>
      <c r="P15" s="4">
        <f>IF(OR(J15&gt;=4,I15&lt;6.7),"請教練確認恢復與下一次負荷","正常監測")</f>
        <v>0</v>
      </c>
    </row>
    <row r="16" spans="1:16">
      <c r="A16" s="3">
        <v>46249</v>
      </c>
      <c r="B16" s="4" t="s">
        <v>17</v>
      </c>
      <c r="C16" s="4" t="s">
        <v>29</v>
      </c>
      <c r="D16" s="4" t="s">
        <v>27</v>
      </c>
      <c r="E16" s="5">
        <v>40</v>
      </c>
      <c r="F16" s="5">
        <v>3</v>
      </c>
      <c r="G16" s="6">
        <f>E16*F16</f>
        <v>0</v>
      </c>
      <c r="H16" s="6">
        <v>0</v>
      </c>
      <c r="I16" s="5">
        <v>8</v>
      </c>
      <c r="J16" s="5">
        <v>2</v>
      </c>
      <c r="K16" s="4" t="s">
        <v>20</v>
      </c>
      <c r="L16" s="7"/>
      <c r="M16" s="6">
        <f>IF(ROW()&lt;10,"",SUM(G10:G16))</f>
        <v>0</v>
      </c>
      <c r="N16" s="6">
        <f>IF(ROW()&lt;31,"",AVERAGE(G4:G16)*7)</f>
        <v>0</v>
      </c>
      <c r="O16" s="5">
        <f>IFERROR(M16/N16,"")</f>
        <v>0</v>
      </c>
      <c r="P16" s="4">
        <f>IF(OR(J16&gt;=4,I16&lt;6.7),"請教練確認恢復與下一次負荷","正常監測")</f>
        <v>0</v>
      </c>
    </row>
    <row r="17" spans="1:16">
      <c r="A17" s="3">
        <v>46250</v>
      </c>
      <c r="B17" s="4" t="s">
        <v>17</v>
      </c>
      <c r="C17" s="4" t="s">
        <v>29</v>
      </c>
      <c r="D17" s="4" t="s">
        <v>28</v>
      </c>
      <c r="E17" s="5">
        <v>0</v>
      </c>
      <c r="F17" s="5">
        <v>0</v>
      </c>
      <c r="G17" s="6">
        <f>E17*F17</f>
        <v>0</v>
      </c>
      <c r="H17" s="6">
        <v>0</v>
      </c>
      <c r="I17" s="5">
        <v>8.300000000000001</v>
      </c>
      <c r="J17" s="5">
        <v>1</v>
      </c>
      <c r="K17" s="4" t="s">
        <v>20</v>
      </c>
      <c r="L17" s="7"/>
      <c r="M17" s="6">
        <f>IF(ROW()&lt;10,"",SUM(G11:G17))</f>
        <v>0</v>
      </c>
      <c r="N17" s="6">
        <f>IF(ROW()&lt;31,"",AVERAGE(G4:G17)*7)</f>
        <v>0</v>
      </c>
      <c r="O17" s="5">
        <f>IFERROR(M17/N17,"")</f>
        <v>0</v>
      </c>
      <c r="P17" s="4">
        <f>IF(OR(J17&gt;=4,I17&lt;6.7),"請教練確認恢復與下一次負荷","正常監測")</f>
        <v>0</v>
      </c>
    </row>
    <row r="18" spans="1:16">
      <c r="A18" s="3">
        <v>46251</v>
      </c>
      <c r="B18" s="4" t="s">
        <v>17</v>
      </c>
      <c r="C18" s="4" t="s">
        <v>30</v>
      </c>
      <c r="D18" s="4" t="s">
        <v>19</v>
      </c>
      <c r="E18" s="5">
        <v>35</v>
      </c>
      <c r="F18" s="5">
        <v>3</v>
      </c>
      <c r="G18" s="6">
        <f>E18*F18</f>
        <v>0</v>
      </c>
      <c r="H18" s="6">
        <v>0</v>
      </c>
      <c r="I18" s="5">
        <v>7.6</v>
      </c>
      <c r="J18" s="5">
        <v>1</v>
      </c>
      <c r="K18" s="4" t="s">
        <v>20</v>
      </c>
      <c r="L18" s="7"/>
      <c r="M18" s="6">
        <f>IF(ROW()&lt;10,"",SUM(G12:G18))</f>
        <v>0</v>
      </c>
      <c r="N18" s="6">
        <f>IF(ROW()&lt;31,"",AVERAGE(G4:G18)*7)</f>
        <v>0</v>
      </c>
      <c r="O18" s="5">
        <f>IFERROR(M18/N18,"")</f>
        <v>0</v>
      </c>
      <c r="P18" s="4">
        <f>IF(OR(J18&gt;=4,I18&lt;6.7),"請教練確認恢復與下一次負荷","正常監測")</f>
        <v>0</v>
      </c>
    </row>
    <row r="19" spans="1:16">
      <c r="A19" s="3">
        <v>46252</v>
      </c>
      <c r="B19" s="4" t="s">
        <v>17</v>
      </c>
      <c r="C19" s="4" t="s">
        <v>30</v>
      </c>
      <c r="D19" s="4" t="s">
        <v>21</v>
      </c>
      <c r="E19" s="5">
        <v>75</v>
      </c>
      <c r="F19" s="5">
        <v>7</v>
      </c>
      <c r="G19" s="6">
        <f>E19*F19</f>
        <v>0</v>
      </c>
      <c r="H19" s="6">
        <v>38</v>
      </c>
      <c r="I19" s="5">
        <v>7.1</v>
      </c>
      <c r="J19" s="5">
        <v>2</v>
      </c>
      <c r="K19" s="4" t="s">
        <v>20</v>
      </c>
      <c r="L19" s="7"/>
      <c r="M19" s="6">
        <f>IF(ROW()&lt;10,"",SUM(G13:G19))</f>
        <v>0</v>
      </c>
      <c r="N19" s="6">
        <f>IF(ROW()&lt;31,"",AVERAGE(G4:G19)*7)</f>
        <v>0</v>
      </c>
      <c r="O19" s="5">
        <f>IFERROR(M19/N19,"")</f>
        <v>0</v>
      </c>
      <c r="P19" s="4">
        <f>IF(OR(J19&gt;=4,I19&lt;6.7),"請教練確認恢復與下一次負荷","正常監測")</f>
        <v>0</v>
      </c>
    </row>
    <row r="20" spans="1:16">
      <c r="A20" s="3">
        <v>46253</v>
      </c>
      <c r="B20" s="4" t="s">
        <v>17</v>
      </c>
      <c r="C20" s="4" t="s">
        <v>30</v>
      </c>
      <c r="D20" s="4" t="s">
        <v>22</v>
      </c>
      <c r="E20" s="5">
        <v>65</v>
      </c>
      <c r="F20" s="5">
        <v>6</v>
      </c>
      <c r="G20" s="6">
        <f>E20*F20</f>
        <v>0</v>
      </c>
      <c r="H20" s="6">
        <v>0</v>
      </c>
      <c r="I20" s="5">
        <v>6.5</v>
      </c>
      <c r="J20" s="5">
        <v>3</v>
      </c>
      <c r="K20" s="4" t="s">
        <v>23</v>
      </c>
      <c r="L20" s="7" t="s">
        <v>24</v>
      </c>
      <c r="M20" s="6">
        <f>IF(ROW()&lt;10,"",SUM(G14:G20))</f>
        <v>0</v>
      </c>
      <c r="N20" s="6">
        <f>IF(ROW()&lt;31,"",AVERAGE(G4:G20)*7)</f>
        <v>0</v>
      </c>
      <c r="O20" s="5">
        <f>IFERROR(M20/N20,"")</f>
        <v>0</v>
      </c>
      <c r="P20" s="4">
        <f>IF(OR(J20&gt;=4,I20&lt;6.7),"請教練確認恢復與下一次負荷","正常監測")</f>
        <v>0</v>
      </c>
    </row>
    <row r="21" spans="1:16">
      <c r="A21" s="3">
        <v>46254</v>
      </c>
      <c r="B21" s="4" t="s">
        <v>17</v>
      </c>
      <c r="C21" s="4" t="s">
        <v>30</v>
      </c>
      <c r="D21" s="4" t="s">
        <v>25</v>
      </c>
      <c r="E21" s="5">
        <v>70</v>
      </c>
      <c r="F21" s="5">
        <v>6</v>
      </c>
      <c r="G21" s="6">
        <f>E21*F21</f>
        <v>0</v>
      </c>
      <c r="H21" s="6">
        <v>18</v>
      </c>
      <c r="I21" s="5">
        <v>7.2</v>
      </c>
      <c r="J21" s="5">
        <v>2</v>
      </c>
      <c r="K21" s="4" t="s">
        <v>20</v>
      </c>
      <c r="L21" s="7"/>
      <c r="M21" s="6">
        <f>IF(ROW()&lt;10,"",SUM(G15:G21))</f>
        <v>0</v>
      </c>
      <c r="N21" s="6">
        <f>IF(ROW()&lt;31,"",AVERAGE(G4:G21)*7)</f>
        <v>0</v>
      </c>
      <c r="O21" s="5">
        <f>IFERROR(M21/N21,"")</f>
        <v>0</v>
      </c>
      <c r="P21" s="4">
        <f>IF(OR(J21&gt;=4,I21&lt;6.7),"請教練確認恢復與下一次負荷","正常監測")</f>
        <v>0</v>
      </c>
    </row>
    <row r="22" spans="1:16">
      <c r="A22" s="3">
        <v>46255</v>
      </c>
      <c r="B22" s="4" t="s">
        <v>17</v>
      </c>
      <c r="C22" s="4" t="s">
        <v>30</v>
      </c>
      <c r="D22" s="4" t="s">
        <v>26</v>
      </c>
      <c r="E22" s="5">
        <v>90</v>
      </c>
      <c r="F22" s="5">
        <v>8</v>
      </c>
      <c r="G22" s="6">
        <f>E22*F22</f>
        <v>0</v>
      </c>
      <c r="H22" s="6">
        <v>66</v>
      </c>
      <c r="I22" s="5">
        <v>6.8</v>
      </c>
      <c r="J22" s="5">
        <v>4</v>
      </c>
      <c r="K22" s="4" t="s">
        <v>23</v>
      </c>
      <c r="L22" s="7" t="s">
        <v>24</v>
      </c>
      <c r="M22" s="6">
        <f>IF(ROW()&lt;10,"",SUM(G16:G22))</f>
        <v>0</v>
      </c>
      <c r="N22" s="6">
        <f>IF(ROW()&lt;31,"",AVERAGE(G4:G22)*7)</f>
        <v>0</v>
      </c>
      <c r="O22" s="5">
        <f>IFERROR(M22/N22,"")</f>
        <v>0</v>
      </c>
      <c r="P22" s="4">
        <f>IF(OR(J22&gt;=4,I22&lt;6.7),"請教練確認恢復與下一次負荷","正常監測")</f>
        <v>0</v>
      </c>
    </row>
    <row r="23" spans="1:16">
      <c r="A23" s="3">
        <v>46256</v>
      </c>
      <c r="B23" s="4" t="s">
        <v>17</v>
      </c>
      <c r="C23" s="4" t="s">
        <v>30</v>
      </c>
      <c r="D23" s="4" t="s">
        <v>27</v>
      </c>
      <c r="E23" s="5">
        <v>40</v>
      </c>
      <c r="F23" s="5">
        <v>3</v>
      </c>
      <c r="G23" s="6">
        <f>E23*F23</f>
        <v>0</v>
      </c>
      <c r="H23" s="6">
        <v>0</v>
      </c>
      <c r="I23" s="5">
        <v>8</v>
      </c>
      <c r="J23" s="5">
        <v>2</v>
      </c>
      <c r="K23" s="4" t="s">
        <v>20</v>
      </c>
      <c r="L23" s="7"/>
      <c r="M23" s="6">
        <f>IF(ROW()&lt;10,"",SUM(G17:G23))</f>
        <v>0</v>
      </c>
      <c r="N23" s="6">
        <f>IF(ROW()&lt;31,"",AVERAGE(G4:G23)*7)</f>
        <v>0</v>
      </c>
      <c r="O23" s="5">
        <f>IFERROR(M23/N23,"")</f>
        <v>0</v>
      </c>
      <c r="P23" s="4">
        <f>IF(OR(J23&gt;=4,I23&lt;6.7),"請教練確認恢復與下一次負荷","正常監測")</f>
        <v>0</v>
      </c>
    </row>
    <row r="24" spans="1:16">
      <c r="A24" s="3">
        <v>46257</v>
      </c>
      <c r="B24" s="4" t="s">
        <v>17</v>
      </c>
      <c r="C24" s="4" t="s">
        <v>30</v>
      </c>
      <c r="D24" s="4" t="s">
        <v>28</v>
      </c>
      <c r="E24" s="5">
        <v>0</v>
      </c>
      <c r="F24" s="5">
        <v>0</v>
      </c>
      <c r="G24" s="6">
        <f>E24*F24</f>
        <v>0</v>
      </c>
      <c r="H24" s="6">
        <v>0</v>
      </c>
      <c r="I24" s="5">
        <v>8.300000000000001</v>
      </c>
      <c r="J24" s="5">
        <v>1</v>
      </c>
      <c r="K24" s="4" t="s">
        <v>20</v>
      </c>
      <c r="L24" s="7"/>
      <c r="M24" s="6">
        <f>IF(ROW()&lt;10,"",SUM(G18:G24))</f>
        <v>0</v>
      </c>
      <c r="N24" s="6">
        <f>IF(ROW()&lt;31,"",AVERAGE(G4:G24)*7)</f>
        <v>0</v>
      </c>
      <c r="O24" s="5">
        <f>IFERROR(M24/N24,"")</f>
        <v>0</v>
      </c>
      <c r="P24" s="4">
        <f>IF(OR(J24&gt;=4,I24&lt;6.7),"請教練確認恢復與下一次負荷","正常監測")</f>
        <v>0</v>
      </c>
    </row>
    <row r="25" spans="1:16">
      <c r="A25" s="3">
        <v>46258</v>
      </c>
      <c r="B25" s="4" t="s">
        <v>17</v>
      </c>
      <c r="C25" s="4" t="s">
        <v>31</v>
      </c>
      <c r="D25" s="4" t="s">
        <v>19</v>
      </c>
      <c r="E25" s="5">
        <v>35</v>
      </c>
      <c r="F25" s="5">
        <v>3</v>
      </c>
      <c r="G25" s="6">
        <f>E25*F25</f>
        <v>0</v>
      </c>
      <c r="H25" s="6">
        <v>0</v>
      </c>
      <c r="I25" s="5">
        <v>7.6</v>
      </c>
      <c r="J25" s="5">
        <v>1</v>
      </c>
      <c r="K25" s="4" t="s">
        <v>20</v>
      </c>
      <c r="L25" s="7"/>
      <c r="M25" s="6">
        <f>IF(ROW()&lt;10,"",SUM(G19:G25))</f>
        <v>0</v>
      </c>
      <c r="N25" s="6">
        <f>IF(ROW()&lt;31,"",AVERAGE(G4:G25)*7)</f>
        <v>0</v>
      </c>
      <c r="O25" s="5">
        <f>IFERROR(M25/N25,"")</f>
        <v>0</v>
      </c>
      <c r="P25" s="4">
        <f>IF(OR(J25&gt;=4,I25&lt;6.7),"請教練確認恢復與下一次負荷","正常監測")</f>
        <v>0</v>
      </c>
    </row>
    <row r="26" spans="1:16">
      <c r="A26" s="3">
        <v>46259</v>
      </c>
      <c r="B26" s="4" t="s">
        <v>17</v>
      </c>
      <c r="C26" s="4" t="s">
        <v>31</v>
      </c>
      <c r="D26" s="4" t="s">
        <v>21</v>
      </c>
      <c r="E26" s="5">
        <v>75</v>
      </c>
      <c r="F26" s="5">
        <v>7</v>
      </c>
      <c r="G26" s="6">
        <f>E26*F26</f>
        <v>0</v>
      </c>
      <c r="H26" s="6">
        <v>38</v>
      </c>
      <c r="I26" s="5">
        <v>7.1</v>
      </c>
      <c r="J26" s="5">
        <v>2</v>
      </c>
      <c r="K26" s="4" t="s">
        <v>20</v>
      </c>
      <c r="L26" s="7"/>
      <c r="M26" s="6">
        <f>IF(ROW()&lt;10,"",SUM(G20:G26))</f>
        <v>0</v>
      </c>
      <c r="N26" s="6">
        <f>IF(ROW()&lt;31,"",AVERAGE(G4:G26)*7)</f>
        <v>0</v>
      </c>
      <c r="O26" s="5">
        <f>IFERROR(M26/N26,"")</f>
        <v>0</v>
      </c>
      <c r="P26" s="4">
        <f>IF(OR(J26&gt;=4,I26&lt;6.7),"請教練確認恢復與下一次負荷","正常監測")</f>
        <v>0</v>
      </c>
    </row>
    <row r="27" spans="1:16">
      <c r="A27" s="3">
        <v>46260</v>
      </c>
      <c r="B27" s="4" t="s">
        <v>17</v>
      </c>
      <c r="C27" s="4" t="s">
        <v>31</v>
      </c>
      <c r="D27" s="4" t="s">
        <v>22</v>
      </c>
      <c r="E27" s="5">
        <v>65</v>
      </c>
      <c r="F27" s="5">
        <v>6</v>
      </c>
      <c r="G27" s="6">
        <f>E27*F27</f>
        <v>0</v>
      </c>
      <c r="H27" s="6">
        <v>0</v>
      </c>
      <c r="I27" s="5">
        <v>6.5</v>
      </c>
      <c r="J27" s="5">
        <v>3</v>
      </c>
      <c r="K27" s="4" t="s">
        <v>23</v>
      </c>
      <c r="L27" s="7" t="s">
        <v>24</v>
      </c>
      <c r="M27" s="6">
        <f>IF(ROW()&lt;10,"",SUM(G21:G27))</f>
        <v>0</v>
      </c>
      <c r="N27" s="6">
        <f>IF(ROW()&lt;31,"",AVERAGE(G4:G27)*7)</f>
        <v>0</v>
      </c>
      <c r="O27" s="5">
        <f>IFERROR(M27/N27,"")</f>
        <v>0</v>
      </c>
      <c r="P27" s="4">
        <f>IF(OR(J27&gt;=4,I27&lt;6.7),"請教練確認恢復與下一次負荷","正常監測")</f>
        <v>0</v>
      </c>
    </row>
    <row r="28" spans="1:16">
      <c r="A28" s="3">
        <v>46261</v>
      </c>
      <c r="B28" s="4" t="s">
        <v>17</v>
      </c>
      <c r="C28" s="4" t="s">
        <v>31</v>
      </c>
      <c r="D28" s="4" t="s">
        <v>25</v>
      </c>
      <c r="E28" s="5">
        <v>70</v>
      </c>
      <c r="F28" s="5">
        <v>6</v>
      </c>
      <c r="G28" s="6">
        <f>E28*F28</f>
        <v>0</v>
      </c>
      <c r="H28" s="6">
        <v>18</v>
      </c>
      <c r="I28" s="5">
        <v>7.2</v>
      </c>
      <c r="J28" s="5">
        <v>2</v>
      </c>
      <c r="K28" s="4" t="s">
        <v>20</v>
      </c>
      <c r="L28" s="7"/>
      <c r="M28" s="6">
        <f>IF(ROW()&lt;10,"",SUM(G22:G28))</f>
        <v>0</v>
      </c>
      <c r="N28" s="6">
        <f>IF(ROW()&lt;31,"",AVERAGE(G4:G28)*7)</f>
        <v>0</v>
      </c>
      <c r="O28" s="5">
        <f>IFERROR(M28/N28,"")</f>
        <v>0</v>
      </c>
      <c r="P28" s="4">
        <f>IF(OR(J28&gt;=4,I28&lt;6.7),"請教練確認恢復與下一次負荷","正常監測")</f>
        <v>0</v>
      </c>
    </row>
    <row r="29" spans="1:16">
      <c r="A29" s="3">
        <v>46262</v>
      </c>
      <c r="B29" s="4" t="s">
        <v>17</v>
      </c>
      <c r="C29" s="4" t="s">
        <v>31</v>
      </c>
      <c r="D29" s="4" t="s">
        <v>26</v>
      </c>
      <c r="E29" s="5">
        <v>90</v>
      </c>
      <c r="F29" s="5">
        <v>8</v>
      </c>
      <c r="G29" s="6">
        <f>E29*F29</f>
        <v>0</v>
      </c>
      <c r="H29" s="6">
        <v>62</v>
      </c>
      <c r="I29" s="5">
        <v>6.8</v>
      </c>
      <c r="J29" s="5">
        <v>4</v>
      </c>
      <c r="K29" s="4" t="s">
        <v>23</v>
      </c>
      <c r="L29" s="7" t="s">
        <v>24</v>
      </c>
      <c r="M29" s="6">
        <f>IF(ROW()&lt;10,"",SUM(G23:G29))</f>
        <v>0</v>
      </c>
      <c r="N29" s="6">
        <f>IF(ROW()&lt;31,"",AVERAGE(G4:G29)*7)</f>
        <v>0</v>
      </c>
      <c r="O29" s="5">
        <f>IFERROR(M29/N29,"")</f>
        <v>0</v>
      </c>
      <c r="P29" s="4">
        <f>IF(OR(J29&gt;=4,I29&lt;6.7),"請教練確認恢復與下一次負荷","正常監測")</f>
        <v>0</v>
      </c>
    </row>
    <row r="30" spans="1:16">
      <c r="A30" s="3">
        <v>46263</v>
      </c>
      <c r="B30" s="4" t="s">
        <v>17</v>
      </c>
      <c r="C30" s="4" t="s">
        <v>31</v>
      </c>
      <c r="D30" s="4" t="s">
        <v>27</v>
      </c>
      <c r="E30" s="5">
        <v>40</v>
      </c>
      <c r="F30" s="5">
        <v>3</v>
      </c>
      <c r="G30" s="6">
        <f>E30*F30</f>
        <v>0</v>
      </c>
      <c r="H30" s="6">
        <v>0</v>
      </c>
      <c r="I30" s="5">
        <v>8</v>
      </c>
      <c r="J30" s="5">
        <v>2</v>
      </c>
      <c r="K30" s="4" t="s">
        <v>20</v>
      </c>
      <c r="L30" s="7"/>
      <c r="M30" s="6">
        <f>IF(ROW()&lt;10,"",SUM(G24:G30))</f>
        <v>0</v>
      </c>
      <c r="N30" s="6">
        <f>IF(ROW()&lt;31,"",AVERAGE(G4:G30)*7)</f>
        <v>0</v>
      </c>
      <c r="O30" s="5">
        <f>IFERROR(M30/N30,"")</f>
        <v>0</v>
      </c>
      <c r="P30" s="4">
        <f>IF(OR(J30&gt;=4,I30&lt;6.7),"請教練確認恢復與下一次負荷","正常監測")</f>
        <v>0</v>
      </c>
    </row>
    <row r="31" spans="1:16">
      <c r="A31" s="3">
        <v>46264</v>
      </c>
      <c r="B31" s="4" t="s">
        <v>17</v>
      </c>
      <c r="C31" s="4" t="s">
        <v>31</v>
      </c>
      <c r="D31" s="4" t="s">
        <v>28</v>
      </c>
      <c r="E31" s="5">
        <v>0</v>
      </c>
      <c r="F31" s="5">
        <v>0</v>
      </c>
      <c r="G31" s="6">
        <f>E31*F31</f>
        <v>0</v>
      </c>
      <c r="H31" s="6">
        <v>0</v>
      </c>
      <c r="I31" s="5">
        <v>8.300000000000001</v>
      </c>
      <c r="J31" s="5">
        <v>1</v>
      </c>
      <c r="K31" s="4" t="s">
        <v>20</v>
      </c>
      <c r="L31" s="7"/>
      <c r="M31" s="6">
        <f>IF(ROW()&lt;10,"",SUM(G25:G31))</f>
        <v>0</v>
      </c>
      <c r="N31" s="6">
        <f>IF(ROW()&lt;31,"",AVERAGE(G4:G31)*7)</f>
        <v>0</v>
      </c>
      <c r="O31" s="5">
        <f>IFERROR(M31/N31,"")</f>
        <v>0</v>
      </c>
      <c r="P31" s="4">
        <f>IF(OR(J31&gt;=4,I31&lt;6.7),"請教練確認恢復與下一次負荷","正常監測")</f>
        <v>0</v>
      </c>
    </row>
  </sheetData>
  <autoFilter ref="A3:P31"/>
  <mergeCells count="1">
    <mergeCell ref="A1:P1"/>
  </mergeCells>
  <conditionalFormatting sqref="J4:J31">
    <cfRule type="cellIs" dxfId="0" priority="1" operator="greaterThanOrEqual">
      <formula>4</formula>
    </cfRule>
  </conditionalFormatting>
  <conditionalFormatting sqref="P4:P31">
    <cfRule type="containsText" dxfId="1" priority="2" operator="containsText" text="確認">
      <formula>NOT(ISERROR(SEARCH("確認",P4)))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6.7109375" customWidth="1"/>
    <col min="2" max="4" width="33.7109375" customWidth="1"/>
  </cols>
  <sheetData>
    <row r="1" spans="1:4">
      <c r="A1" s="1" t="s">
        <v>32</v>
      </c>
      <c r="B1" s="1"/>
      <c r="C1" s="1"/>
      <c r="D1" s="1"/>
    </row>
    <row r="3" spans="1:4" ht="28" customHeight="1">
      <c r="A3" s="2" t="s">
        <v>33</v>
      </c>
      <c r="B3" s="2" t="s">
        <v>34</v>
      </c>
      <c r="C3" s="2" t="s">
        <v>35</v>
      </c>
      <c r="D3" s="2" t="s">
        <v>36</v>
      </c>
    </row>
    <row r="4" spans="1:4" ht="46" customHeight="1">
      <c r="A4" s="7" t="s">
        <v>7</v>
      </c>
      <c r="B4" s="7" t="s">
        <v>37</v>
      </c>
      <c r="C4" s="7" t="s">
        <v>38</v>
      </c>
      <c r="D4" s="7" t="s">
        <v>39</v>
      </c>
    </row>
    <row r="5" spans="1:4" ht="46" customHeight="1">
      <c r="A5" s="7" t="s">
        <v>13</v>
      </c>
      <c r="B5" s="7" t="s">
        <v>40</v>
      </c>
      <c r="C5" s="7" t="s">
        <v>41</v>
      </c>
      <c r="D5" s="7" t="s">
        <v>42</v>
      </c>
    </row>
    <row r="6" spans="1:4" ht="46" customHeight="1">
      <c r="A6" s="7" t="s">
        <v>14</v>
      </c>
      <c r="B6" s="7" t="s">
        <v>43</v>
      </c>
      <c r="C6" s="7" t="s">
        <v>44</v>
      </c>
      <c r="D6" s="7" t="s">
        <v>45</v>
      </c>
    </row>
    <row r="7" spans="1:4" ht="46" customHeight="1">
      <c r="A7" s="7" t="s">
        <v>15</v>
      </c>
      <c r="B7" s="7" t="s">
        <v>46</v>
      </c>
      <c r="C7" s="7" t="s">
        <v>47</v>
      </c>
      <c r="D7" s="7" t="s">
        <v>48</v>
      </c>
    </row>
    <row r="8" spans="1:4" ht="46" customHeight="1">
      <c r="A8" s="7" t="s">
        <v>49</v>
      </c>
      <c r="B8" s="7" t="s">
        <v>50</v>
      </c>
      <c r="C8" s="7" t="s">
        <v>51</v>
      </c>
      <c r="D8" s="7" t="s">
        <v>52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每日監測</vt:lpstr>
      <vt:lpstr>教練操作說明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2026-09-01T23:21:08Z</dcterms:created>
  <dcterms:modified xsi:type="dcterms:W3CDTF">2026-09-01T23:21:08Z</dcterms:modified>
</cp:coreProperties>
</file>